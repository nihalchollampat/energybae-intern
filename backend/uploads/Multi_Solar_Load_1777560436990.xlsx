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nay HOME" state="visible" r:id="rId4"/>
  </sheets>
  <calcPr calcId="171027"/>
</workbook>
</file>

<file path=xl/sharedStrings.xml><?xml version="1.0" encoding="utf-8"?>
<sst xmlns="http://schemas.openxmlformats.org/spreadsheetml/2006/main" count="53" uniqueCount="49">
  <si>
    <t>Consumer Name</t>
  </si>
  <si>
    <t>RANJANA MADHUSHAM KHOBRAGADE</t>
  </si>
  <si>
    <t>SHRI MADHUSHAM ROOPCHAND KHOBRAGADE</t>
  </si>
  <si>
    <t>Consumer No</t>
  </si>
  <si>
    <t>176813983</t>
  </si>
  <si>
    <t>439320005567</t>
  </si>
  <si>
    <t>Fixed Charges</t>
  </si>
  <si>
    <t>Sanct. Load (kW)</t>
  </si>
  <si>
    <t>Connection Type</t>
  </si>
  <si>
    <t>Domestic</t>
  </si>
  <si>
    <t>3 Phase</t>
  </si>
  <si>
    <t>Contract Demand (KVA) :</t>
  </si>
  <si>
    <t>Solar Pannel used</t>
  </si>
  <si>
    <t>Sr.No</t>
  </si>
  <si>
    <t>Month</t>
  </si>
  <si>
    <t>Units</t>
  </si>
  <si>
    <t>Bill Amount</t>
  </si>
  <si>
    <t>Unit Cost</t>
  </si>
  <si>
    <t>Jan 2026</t>
  </si>
  <si>
    <t>Jan 2020</t>
  </si>
  <si>
    <t>Dec 2025</t>
  </si>
  <si>
    <t>Feb 2020</t>
  </si>
  <si>
    <t>Nov 2025</t>
  </si>
  <si>
    <t>Mar 2020</t>
  </si>
  <si>
    <t>Oct 2025</t>
  </si>
  <si>
    <t>Apr 2020</t>
  </si>
  <si>
    <t>Sep 2025</t>
  </si>
  <si>
    <t>May 2020</t>
  </si>
  <si>
    <t>Aug 2025</t>
  </si>
  <si>
    <t>Jun 2020</t>
  </si>
  <si>
    <t>Jul 2025</t>
  </si>
  <si>
    <t>Jul 2020</t>
  </si>
  <si>
    <t>Jun 2025</t>
  </si>
  <si>
    <t>Aug 2020</t>
  </si>
  <si>
    <t>May 2025</t>
  </si>
  <si>
    <t>Sep 2020</t>
  </si>
  <si>
    <t>Apr 2025</t>
  </si>
  <si>
    <t>Oct 2020</t>
  </si>
  <si>
    <t>Mar 2025</t>
  </si>
  <si>
    <t>Nov 2020</t>
  </si>
  <si>
    <t>Feb 2025</t>
  </si>
  <si>
    <t>Dec 2020</t>
  </si>
  <si>
    <t>Average</t>
  </si>
  <si>
    <t>kW</t>
  </si>
  <si>
    <t>Solar Panels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</si>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</sst>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4B084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5" fontId="1" fillId="3" borderId="1" xfId="0" applyNumberFormat="1" applyFont="1" applyFill="1" applyBorder="1" applyAlignment="1">
      <alignment horizontal="right" vertical="center" wrapText="1"/>
    </xf>
    <xf numFmtId="1" fontId="1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FormatPr defaultRowHeight="15" outlineLevelRow="0" outlineLevelCol="0" x14ac:dyDescent="55"/>
  <cols>
    <col min="2" max="2" width="25" customWidth="1"/>
    <col min="3" max="4" width="20" customWidth="1"/>
    <col min="5" max="6" width="15" customWidth="1"/>
    <col min="7" max="8" width="20" customWidth="1"/>
    <col min="9" max="10" width="15" customWidth="1"/>
  </cols>
  <sheetData>
    <row r="1" spans="2:8" x14ac:dyDescent="0.25">
      <c r="B1" s="1" t="s">
        <v>0</v>
      </c>
      <c r="D1" s="2" t="s">
        <v>1</v>
      </c>
      <c r="H1" s="2" t="s">
        <v>2</v>
      </c>
    </row>
    <row r="2" spans="2:8" x14ac:dyDescent="0.25">
      <c r="B2" s="1" t="s">
        <v>3</v>
      </c>
      <c r="D2" s="2" t="s">
        <v>4</v>
      </c>
      <c r="H2" s="2" t="s">
        <v>5</v>
      </c>
    </row>
    <row r="3" spans="2:8" x14ac:dyDescent="0.25">
      <c r="B3" s="1" t="s">
        <v>6</v>
      </c>
      <c r="D3" s="2">
        <v>0</v>
      </c>
      <c r="H3" s="2">
        <v>0</v>
      </c>
    </row>
    <row r="4" spans="2:8" x14ac:dyDescent="0.25">
      <c r="B4" s="1" t="s">
        <v>7</v>
      </c>
      <c r="D4" s="2">
        <v>1</v>
      </c>
      <c r="H4" s="2">
        <v>3.3</v>
      </c>
    </row>
    <row r="5" spans="2:8" x14ac:dyDescent="0.25">
      <c r="B5" s="1" t="s">
        <v>8</v>
      </c>
      <c r="D5" s="2" t="s">
        <v>9</v>
      </c>
      <c r="H5" s="2" t="s">
        <v>10</v>
      </c>
    </row>
    <row r="6" spans="2:4" x14ac:dyDescent="0.25">
      <c r="B6" s="3" t="s">
        <v>11</v>
      </c>
      <c r="D6" s="4"/>
    </row>
    <row r="7" spans="2:4" x14ac:dyDescent="0.25">
      <c r="B7" s="3" t="s">
        <v>12</v>
      </c>
      <c r="D7" s="5"/>
    </row>
    <row r="8" spans="2:10" x14ac:dyDescent="0.25"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14</v>
      </c>
      <c r="H8" s="6" t="s">
        <v>15</v>
      </c>
      <c r="I8" s="6" t="s">
        <v>16</v>
      </c>
      <c r="J8" s="6" t="s">
        <v>17</v>
      </c>
    </row>
    <row r="9" spans="2:10" x14ac:dyDescent="0.25">
      <c r="B9" s="4">
        <v>2</v>
      </c>
      <c r="C9" s="4" t="s">
        <v>18</v>
      </c>
      <c r="D9" s="4">
        <v>184</v>
      </c>
      <c r="E9" s="4">
        <v>3440</v>
      </c>
      <c r="F9" s="4">
        <v>18.68</v>
      </c>
      <c r="G9" s="4" t="s">
        <v>19</v>
      </c>
      <c r="H9" s="4">
        <v>258</v>
      </c>
      <c r="I9" s="4">
        <v>1460</v>
      </c>
      <c r="J9" s="4">
        <v>5.66</v>
      </c>
    </row>
    <row r="10" spans="2:10" x14ac:dyDescent="0.25">
      <c r="B10" s="4">
        <v>3</v>
      </c>
      <c r="C10" s="4" t="s">
        <v>20</v>
      </c>
      <c r="D10" s="4">
        <v>182</v>
      </c>
      <c r="E10" s="4">
        <v>3450</v>
      </c>
      <c r="F10" s="4">
        <v>18.96</v>
      </c>
      <c r="G10" s="4" t="s">
        <v>21</v>
      </c>
      <c r="H10" s="4">
        <v>255</v>
      </c>
      <c r="I10" s="4">
        <v>1460</v>
      </c>
      <c r="J10" s="4">
        <v>5.72</v>
      </c>
    </row>
    <row r="11" spans="2:10" x14ac:dyDescent="0.25">
      <c r="B11" s="4">
        <v>4</v>
      </c>
      <c r="C11" s="4" t="s">
        <v>22</v>
      </c>
      <c r="D11" s="4">
        <v>0</v>
      </c>
      <c r="E11" s="4">
        <v>0</v>
      </c>
      <c r="F11" s="4">
        <v>0</v>
      </c>
      <c r="G11" s="4" t="s">
        <v>23</v>
      </c>
      <c r="H11" s="4">
        <v>0</v>
      </c>
      <c r="I11" s="4">
        <v>0</v>
      </c>
      <c r="J11" s="4">
        <v>0</v>
      </c>
    </row>
    <row r="12" spans="2:10" x14ac:dyDescent="0.25">
      <c r="B12" s="4">
        <v>5</v>
      </c>
      <c r="C12" s="4" t="s">
        <v>24</v>
      </c>
      <c r="D12" s="4">
        <v>0</v>
      </c>
      <c r="E12" s="4">
        <v>0</v>
      </c>
      <c r="F12" s="4">
        <v>0</v>
      </c>
      <c r="G12" s="4" t="s">
        <v>25</v>
      </c>
      <c r="H12" s="4">
        <v>0</v>
      </c>
      <c r="I12" s="4">
        <v>0</v>
      </c>
      <c r="J12" s="4">
        <v>0</v>
      </c>
    </row>
    <row r="13" spans="2:10" x14ac:dyDescent="0.25">
      <c r="B13" s="4">
        <v>6</v>
      </c>
      <c r="C13" s="4" t="s">
        <v>26</v>
      </c>
      <c r="D13" s="4">
        <v>0</v>
      </c>
      <c r="E13" s="4">
        <v>0</v>
      </c>
      <c r="F13" s="4">
        <v>0</v>
      </c>
      <c r="G13" s="4" t="s">
        <v>27</v>
      </c>
      <c r="H13" s="4">
        <v>0</v>
      </c>
      <c r="I13" s="4">
        <v>0</v>
      </c>
      <c r="J13" s="4">
        <v>0</v>
      </c>
    </row>
    <row r="14" spans="2:10" x14ac:dyDescent="0.25">
      <c r="B14" s="4">
        <v>7</v>
      </c>
      <c r="C14" s="4" t="s">
        <v>28</v>
      </c>
      <c r="D14" s="4">
        <v>0</v>
      </c>
      <c r="E14" s="4">
        <v>0</v>
      </c>
      <c r="F14" s="4">
        <v>0</v>
      </c>
      <c r="G14" s="4" t="s">
        <v>29</v>
      </c>
      <c r="H14" s="4">
        <v>0</v>
      </c>
      <c r="I14" s="4">
        <v>0</v>
      </c>
      <c r="J14" s="4">
        <v>0</v>
      </c>
    </row>
    <row r="15" spans="2:10" x14ac:dyDescent="0.25">
      <c r="B15" s="4">
        <v>8</v>
      </c>
      <c r="C15" s="4" t="s">
        <v>30</v>
      </c>
      <c r="D15" s="4">
        <v>0</v>
      </c>
      <c r="E15" s="4">
        <v>0</v>
      </c>
      <c r="F15" s="4">
        <v>0</v>
      </c>
      <c r="G15" s="4" t="s">
        <v>31</v>
      </c>
      <c r="H15" s="4">
        <v>0</v>
      </c>
      <c r="I15" s="4">
        <v>0</v>
      </c>
      <c r="J15" s="4">
        <v>0</v>
      </c>
    </row>
    <row r="16" spans="2:10" x14ac:dyDescent="0.25">
      <c r="B16" s="4">
        <v>9</v>
      </c>
      <c r="C16" s="4" t="s">
        <v>32</v>
      </c>
      <c r="D16" s="4">
        <v>0</v>
      </c>
      <c r="E16" s="4">
        <v>0</v>
      </c>
      <c r="F16" s="4">
        <v>0</v>
      </c>
      <c r="G16" s="4" t="s">
        <v>33</v>
      </c>
      <c r="H16" s="4">
        <v>0</v>
      </c>
      <c r="I16" s="4">
        <v>0</v>
      </c>
      <c r="J16" s="4">
        <v>0</v>
      </c>
    </row>
    <row r="17" spans="2:10" x14ac:dyDescent="0.25">
      <c r="B17" s="4">
        <v>10</v>
      </c>
      <c r="C17" s="4" t="s">
        <v>34</v>
      </c>
      <c r="D17" s="4">
        <v>0</v>
      </c>
      <c r="E17" s="4">
        <v>0</v>
      </c>
      <c r="F17" s="4">
        <v>0</v>
      </c>
      <c r="G17" s="4" t="s">
        <v>35</v>
      </c>
      <c r="H17" s="4">
        <v>0</v>
      </c>
      <c r="I17" s="4">
        <v>0</v>
      </c>
      <c r="J17" s="4">
        <v>0</v>
      </c>
    </row>
    <row r="18" spans="2:10" x14ac:dyDescent="0.25">
      <c r="B18" s="4">
        <v>11</v>
      </c>
      <c r="C18" s="4" t="s">
        <v>36</v>
      </c>
      <c r="D18" s="4">
        <v>0</v>
      </c>
      <c r="E18" s="4">
        <v>0</v>
      </c>
      <c r="F18" s="4">
        <v>0</v>
      </c>
      <c r="G18" s="4" t="s">
        <v>37</v>
      </c>
      <c r="H18" s="4">
        <v>0</v>
      </c>
      <c r="I18" s="4">
        <v>0</v>
      </c>
      <c r="J18" s="4">
        <v>0</v>
      </c>
    </row>
    <row r="19" spans="2:10" x14ac:dyDescent="0.25">
      <c r="B19" s="4">
        <v>12</v>
      </c>
      <c r="C19" s="4" t="s">
        <v>38</v>
      </c>
      <c r="D19" s="4">
        <v>0</v>
      </c>
      <c r="E19" s="4">
        <v>0</v>
      </c>
      <c r="F19" s="4">
        <v>0</v>
      </c>
      <c r="G19" s="4" t="s">
        <v>39</v>
      </c>
      <c r="H19" s="4">
        <v>0</v>
      </c>
      <c r="I19" s="4">
        <v>0</v>
      </c>
      <c r="J19" s="4">
        <v>0</v>
      </c>
    </row>
    <row r="20" spans="2:10" x14ac:dyDescent="0.25">
      <c r="B20" s="4">
        <v>13</v>
      </c>
      <c r="C20" s="4" t="s">
        <v>40</v>
      </c>
      <c r="D20" s="4">
        <v>0</v>
      </c>
      <c r="E20" s="4">
        <v>0</v>
      </c>
      <c r="F20" s="4">
        <v>0</v>
      </c>
      <c r="G20" s="4" t="s">
        <v>41</v>
      </c>
      <c r="H20" s="4">
        <v>0</v>
      </c>
      <c r="I20" s="4">
        <v>0</v>
      </c>
      <c r="J20" s="4">
        <v>0</v>
      </c>
    </row>
    <row r="21" spans="2:10" x14ac:dyDescent="0.25">
      <c r="B21" s="4">
        <v>14</v>
      </c>
      <c r="C21" s="4"/>
      <c r="D21" s="4"/>
      <c r="E21" s="4"/>
      <c r="F21" s="4"/>
      <c r="G21" s="4"/>
      <c r="H21" s="4"/>
      <c r="I21" s="4"/>
      <c r="J21" s="4"/>
    </row>
    <row r="22" spans="2:8" x14ac:dyDescent="0.25">
      <c r="B22" s="1" t="s">
        <v>42</v>
      </c>
      <c r="D22" s="7">
        <f>AVERAGE(D9:D20)</f>
      </c>
      <c r="H22" s="7">
        <f>AVERAGE(H9:H20)</f>
      </c>
    </row>
    <row r="23" spans="2:8" x14ac:dyDescent="0.25">
      <c r="B23" s="1" t="s">
        <v>43</v>
      </c>
      <c r="D23" s="8">
        <f>D22/106.06</f>
      </c>
      <c r="H23" s="8">
        <f>H22/106.06</f>
      </c>
    </row>
    <row r="24" spans="2:8" x14ac:dyDescent="0.25">
      <c r="B24" s="1" t="s">
        <v>44</v>
      </c>
      <c r="D24" s="8">
        <f>D23/0.6</f>
      </c>
      <c r="H24" s="8">
        <f>H23/0.6</f>
      </c>
    </row>
    <row r="25" spans="2:8" x14ac:dyDescent="0.25">
      <c r="B25" s="1" t="s">
        <v>45</v>
      </c>
      <c r="D25" s="9">
        <f>ROUND(D24*0.6, 1)</f>
      </c>
      <c r="H25" s="9">
        <f>ROUND(H24*0.6, 1)</f>
      </c>
    </row>
    <row r="26" spans="2:8" x14ac:dyDescent="0.25">
      <c r="B26" s="1" t="s">
        <v>46</v>
      </c>
      <c r="D26" s="10">
        <f>ROUNDUP(D24, 0)</f>
      </c>
      <c r="H26" s="10">
        <f>ROUNDUP(H24, 0)</f>
      </c>
    </row>
    <row r="29" spans="2:4" x14ac:dyDescent="0.25">
      <c r="B29" s="3" t="s">
        <v>47</v>
      </c>
      <c r="D29" s="2">
        <f>D25+H25</f>
      </c>
    </row>
    <row r="30" spans="2:4" x14ac:dyDescent="0.25">
      <c r="B30" s="3" t="s">
        <v>48</v>
      </c>
      <c r="D30" s="2">
        <f>D26+H26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2026-04-30T14:39:17Z</dcterms:created>
  <dcterms:modified xsi:type="dcterms:W3CDTF">2026-04-30T14:39:17Z</dcterms:modified>
</cp:coreProperties>
</file>